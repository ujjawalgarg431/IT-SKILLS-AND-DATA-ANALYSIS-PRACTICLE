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sion1\Desktop\"/>
    </mc:Choice>
  </mc:AlternateContent>
  <bookViews>
    <workbookView xWindow="0" yWindow="0" windowWidth="28800" windowHeight="12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D19" i="1"/>
  <c r="D18" i="1"/>
  <c r="H16" i="1"/>
  <c r="G16" i="1"/>
  <c r="F16" i="1"/>
  <c r="E16" i="1"/>
  <c r="D16" i="1"/>
  <c r="H10" i="1"/>
  <c r="H11" i="1"/>
  <c r="H12" i="1"/>
  <c r="H13" i="1"/>
  <c r="H14" i="1"/>
  <c r="H15" i="1"/>
  <c r="H9" i="1"/>
  <c r="G10" i="1"/>
  <c r="G11" i="1"/>
  <c r="G12" i="1"/>
  <c r="G13" i="1"/>
  <c r="G14" i="1"/>
  <c r="G15" i="1"/>
  <c r="G9" i="1"/>
  <c r="F10" i="1"/>
  <c r="F11" i="1"/>
  <c r="F12" i="1"/>
  <c r="F13" i="1"/>
  <c r="F14" i="1"/>
  <c r="F15" i="1"/>
  <c r="F9" i="1"/>
  <c r="E9" i="1"/>
  <c r="E10" i="1"/>
  <c r="E11" i="1"/>
  <c r="E12" i="1"/>
  <c r="E13" i="1"/>
  <c r="E14" i="1"/>
  <c r="E15" i="1"/>
</calcChain>
</file>

<file path=xl/sharedStrings.xml><?xml version="1.0" encoding="utf-8"?>
<sst xmlns="http://schemas.openxmlformats.org/spreadsheetml/2006/main" count="24" uniqueCount="24">
  <si>
    <t>Practicle 7</t>
  </si>
  <si>
    <t>Aim: to calculate A.M ,G.M AND H.M</t>
  </si>
  <si>
    <t xml:space="preserve">Problem: For the given continous frequency distribution </t>
  </si>
  <si>
    <t>frequency</t>
  </si>
  <si>
    <t>calculate  airthmetic mean , geometric mean and harmonic  mean</t>
  </si>
  <si>
    <t>also verify that</t>
  </si>
  <si>
    <t>A.M &gt; G.M&gt;H.M</t>
  </si>
  <si>
    <t>Theory and formula: for the continous frequency distribution airthmetic mean is given by  A.M = 1/N *</t>
  </si>
  <si>
    <t>harmonic mean is the reciprocal of airthemetic mean of the reciprocal of geometric mean</t>
  </si>
  <si>
    <t>∑ (FI *DI)</t>
  </si>
  <si>
    <t xml:space="preserve">calculations : we insert the data into excel sheet and compute the values as required by theory and formula  </t>
  </si>
  <si>
    <t>xi</t>
  </si>
  <si>
    <t>xi*fi</t>
  </si>
  <si>
    <t>fi/xi</t>
  </si>
  <si>
    <t>fi*log xi</t>
  </si>
  <si>
    <t>A.M =</t>
  </si>
  <si>
    <t>G.M=</t>
  </si>
  <si>
    <t>H.M=</t>
  </si>
  <si>
    <t>total</t>
  </si>
  <si>
    <t>Class</t>
  </si>
  <si>
    <t>interval</t>
  </si>
  <si>
    <t xml:space="preserve">thus we have </t>
  </si>
  <si>
    <t>A.M(47.1)&gt;G.M(45.0255)&gt;H.M(42.98733)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</si>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</sst>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0"/>
  <sheetViews>
    <sheetView tabSelected="1" workbookViewId="0">
      <selection activeCell="M12" sqref="M12"/>
    </sheetView>
  </sheetViews>
  <sheetFormatPr defaultRowHeight="15" x14ac:dyDescent="0.25"/>
  <cols>
    <col min="3" max="3" width="9.5703125" customWidth="1"/>
    <col min="13" max="13" width="12.7109375" customWidth="1"/>
  </cols>
  <sheetData>
    <row r="2" spans="2:16" x14ac:dyDescent="0.25">
      <c r="B2" t="s">
        <v>0</v>
      </c>
    </row>
    <row r="4" spans="2:16" x14ac:dyDescent="0.25">
      <c r="B4" t="s">
        <v>1</v>
      </c>
    </row>
    <row r="6" spans="2:16" x14ac:dyDescent="0.25">
      <c r="B6" t="s">
        <v>2</v>
      </c>
      <c r="H6" t="s">
        <v>4</v>
      </c>
      <c r="N6" t="s">
        <v>5</v>
      </c>
      <c r="P6" t="s">
        <v>6</v>
      </c>
    </row>
    <row r="8" spans="2:16" x14ac:dyDescent="0.25">
      <c r="B8" s="3" t="s">
        <v>19</v>
      </c>
      <c r="C8" s="3" t="s">
        <v>20</v>
      </c>
      <c r="D8" s="3" t="s">
        <v>3</v>
      </c>
      <c r="E8" s="3" t="s">
        <v>11</v>
      </c>
      <c r="F8" s="3" t="s">
        <v>12</v>
      </c>
      <c r="G8" s="3" t="s">
        <v>13</v>
      </c>
      <c r="H8" s="3" t="s">
        <v>14</v>
      </c>
    </row>
    <row r="9" spans="2:16" x14ac:dyDescent="0.25">
      <c r="B9" s="3">
        <v>21</v>
      </c>
      <c r="C9" s="3">
        <v>30</v>
      </c>
      <c r="D9" s="3">
        <v>5</v>
      </c>
      <c r="E9" s="3">
        <f>(B9+C9)/2</f>
        <v>25.5</v>
      </c>
      <c r="F9" s="3">
        <f>D9*E9</f>
        <v>127.5</v>
      </c>
      <c r="G9" s="3">
        <f>D9/E9</f>
        <v>0.19607843137254902</v>
      </c>
      <c r="H9" s="3">
        <f>(D9*LOG10(E9))</f>
        <v>7.0327009021697764</v>
      </c>
    </row>
    <row r="10" spans="2:16" x14ac:dyDescent="0.25">
      <c r="B10" s="3">
        <v>30</v>
      </c>
      <c r="C10" s="3">
        <v>39</v>
      </c>
      <c r="D10" s="3">
        <v>7</v>
      </c>
      <c r="E10" s="3">
        <f t="shared" ref="E10:E15" si="0">(B10+C10)/2</f>
        <v>34.5</v>
      </c>
      <c r="F10" s="3">
        <f t="shared" ref="F10:F15" si="1">D10*E10</f>
        <v>241.5</v>
      </c>
      <c r="G10" s="3">
        <f t="shared" ref="G10:G15" si="2">D10/E10</f>
        <v>0.20289855072463769</v>
      </c>
      <c r="H10" s="3">
        <f t="shared" ref="H10:H15" si="3">(D10*LOG10(E10))</f>
        <v>10.764733665512919</v>
      </c>
    </row>
    <row r="11" spans="2:16" x14ac:dyDescent="0.25">
      <c r="B11" s="3">
        <v>39</v>
      </c>
      <c r="C11" s="3">
        <v>48</v>
      </c>
      <c r="D11" s="3">
        <v>16</v>
      </c>
      <c r="E11" s="3">
        <f t="shared" si="0"/>
        <v>43.5</v>
      </c>
      <c r="F11" s="3">
        <f t="shared" si="1"/>
        <v>696</v>
      </c>
      <c r="G11" s="3">
        <f t="shared" si="2"/>
        <v>0.36781609195402298</v>
      </c>
      <c r="H11" s="3">
        <f t="shared" si="3"/>
        <v>26.215828111274199</v>
      </c>
    </row>
    <row r="12" spans="2:16" x14ac:dyDescent="0.25">
      <c r="B12" s="3">
        <v>48</v>
      </c>
      <c r="C12" s="3">
        <v>57</v>
      </c>
      <c r="D12" s="3">
        <v>6</v>
      </c>
      <c r="E12" s="3">
        <f t="shared" si="0"/>
        <v>52.5</v>
      </c>
      <c r="F12" s="3">
        <f t="shared" si="1"/>
        <v>315</v>
      </c>
      <c r="G12" s="3">
        <f t="shared" si="2"/>
        <v>0.11428571428571428</v>
      </c>
      <c r="H12" s="3">
        <f t="shared" si="3"/>
        <v>10.32095582043574</v>
      </c>
      <c r="M12" t="s">
        <v>23</v>
      </c>
    </row>
    <row r="13" spans="2:16" x14ac:dyDescent="0.25">
      <c r="B13" s="3">
        <v>57</v>
      </c>
      <c r="C13" s="3">
        <v>66</v>
      </c>
      <c r="D13" s="3">
        <v>7</v>
      </c>
      <c r="E13" s="3">
        <f t="shared" si="0"/>
        <v>61.5</v>
      </c>
      <c r="F13" s="3">
        <f t="shared" si="1"/>
        <v>430.5</v>
      </c>
      <c r="G13" s="3">
        <f t="shared" si="2"/>
        <v>0.11382113821138211</v>
      </c>
      <c r="H13" s="3">
        <f t="shared" si="3"/>
        <v>12.522125810427918</v>
      </c>
    </row>
    <row r="14" spans="2:16" x14ac:dyDescent="0.25">
      <c r="B14" s="3">
        <v>66</v>
      </c>
      <c r="C14" s="3">
        <v>75</v>
      </c>
      <c r="D14" s="3">
        <v>1</v>
      </c>
      <c r="E14" s="3">
        <f t="shared" si="0"/>
        <v>70.5</v>
      </c>
      <c r="F14" s="3">
        <f t="shared" si="1"/>
        <v>70.5</v>
      </c>
      <c r="G14" s="3">
        <f t="shared" si="2"/>
        <v>1.4184397163120567E-2</v>
      </c>
      <c r="H14" s="3">
        <f t="shared" si="3"/>
        <v>1.8481891169913987</v>
      </c>
    </row>
    <row r="15" spans="2:16" x14ac:dyDescent="0.25">
      <c r="B15" s="3">
        <v>75</v>
      </c>
      <c r="C15" s="3">
        <v>84</v>
      </c>
      <c r="D15" s="3">
        <v>3</v>
      </c>
      <c r="E15" s="3">
        <f t="shared" si="0"/>
        <v>79.5</v>
      </c>
      <c r="F15" s="3">
        <f t="shared" si="1"/>
        <v>238.5</v>
      </c>
      <c r="G15" s="3">
        <f t="shared" si="2"/>
        <v>3.7735849056603772E-2</v>
      </c>
      <c r="H15" s="3">
        <f t="shared" si="3"/>
        <v>5.7011013859694106</v>
      </c>
    </row>
    <row r="16" spans="2:16" x14ac:dyDescent="0.25">
      <c r="B16" s="3"/>
      <c r="C16" s="4" t="s">
        <v>18</v>
      </c>
      <c r="D16" s="4">
        <f>SUM(D9:D15)</f>
        <v>45</v>
      </c>
      <c r="E16" s="4">
        <f>SUM(E9:E15)</f>
        <v>367.5</v>
      </c>
      <c r="F16" s="4">
        <f>SUM(F9:F15)</f>
        <v>2119.5</v>
      </c>
      <c r="G16" s="4">
        <f>SUM(G9:G15)</f>
        <v>1.0468201727680304</v>
      </c>
      <c r="H16" s="4">
        <f>SUM(H9:H15)</f>
        <v>74.405634812781358</v>
      </c>
    </row>
    <row r="18" spans="2:12" x14ac:dyDescent="0.25">
      <c r="C18" s="2" t="s">
        <v>15</v>
      </c>
      <c r="D18" s="2">
        <f>((1/D16)*(F16))</f>
        <v>47.1</v>
      </c>
    </row>
    <row r="19" spans="2:12" x14ac:dyDescent="0.25">
      <c r="C19" s="2" t="s">
        <v>16</v>
      </c>
      <c r="D19" s="2">
        <f>10^((1/D16)*H16)</f>
        <v>45.025500737694308</v>
      </c>
    </row>
    <row r="20" spans="2:12" x14ac:dyDescent="0.25">
      <c r="C20" s="2" t="s">
        <v>17</v>
      </c>
      <c r="D20" s="2">
        <f>D16/(G16)</f>
        <v>42.987325971193101</v>
      </c>
    </row>
    <row r="22" spans="2:12" x14ac:dyDescent="0.25">
      <c r="C22" s="6" t="s">
        <v>21</v>
      </c>
      <c r="D22" s="6"/>
      <c r="E22" s="5" t="s">
        <v>22</v>
      </c>
      <c r="F22" s="5"/>
      <c r="G22" s="5"/>
      <c r="H22" s="5"/>
    </row>
    <row r="26" spans="2:12" x14ac:dyDescent="0.25">
      <c r="B26" t="s">
        <v>7</v>
      </c>
      <c r="L26" s="1" t="s">
        <v>9</v>
      </c>
    </row>
    <row r="28" spans="2:12" x14ac:dyDescent="0.25">
      <c r="D28" t="s">
        <v>8</v>
      </c>
    </row>
    <row r="30" spans="2:12" x14ac:dyDescent="0.25">
      <c r="B3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Session1</dc:creator>
  <cp:lastModifiedBy>Session1</cp:lastModifiedBy>
  <dcterms:created xsi:type="dcterms:W3CDTF">2026-02-10T10:13:50Z</dcterms:created>
  <dcterms:modified xsi:type="dcterms:W3CDTF">2026-02-10T11:23:01Z</dcterms:modified>
</cp:coreProperties>
</file>